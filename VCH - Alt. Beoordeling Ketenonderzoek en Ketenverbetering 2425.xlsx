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https://liveadminwindesheim.sharepoint.com/sites/O365-LMOnderwijsconcept/Gedeelde documenten/Onderwijsprogramma/M7 - Supply chain management/M7 Ketenonderzoek en ketenverbetering/MDV/"/>
    </mc:Choice>
  </mc:AlternateContent>
  <xr:revisionPtr revIDLastSave="535" documentId="8_{D9A13756-8DE9-4AAB-BBBF-2F9721A8E9F0}" xr6:coauthVersionLast="47" xr6:coauthVersionMax="47" xr10:uidLastSave="{FB681DDA-3937-4003-9DE2-B5BAD1CEFCF3}"/>
  <bookViews>
    <workbookView xWindow="-108" yWindow="-108" windowWidth="23256" windowHeight="12456" xr2:uid="{00000000-000D-0000-FFFF-FFFF00000000}"/>
  </bookViews>
  <sheets>
    <sheet name="Beoordelingsmodel KO+KV" sheetId="6" r:id="rId1"/>
    <sheet name="Keuzelijst" sheetId="5" r:id="rId2"/>
  </sheets>
  <definedNames>
    <definedName name="Kans" localSheetId="0">#REF!</definedName>
    <definedName name="Kans">#REF!</definedName>
    <definedName name="Klas" localSheetId="0">#REF!</definedName>
    <definedName name="Klas">#REF!</definedName>
    <definedName name="Print_Area" localSheetId="0">'Beoordelingsmodel KO+KV'!$A$1:$N$41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9" i="6" l="1"/>
  <c r="N28" i="6"/>
  <c r="N27" i="6"/>
  <c r="N26" i="6"/>
  <c r="O26" i="6" s="1"/>
  <c r="N25" i="6"/>
  <c r="N24" i="6"/>
  <c r="N23" i="6"/>
  <c r="N22" i="6"/>
  <c r="N21" i="6"/>
  <c r="N20" i="6"/>
  <c r="N19" i="6"/>
  <c r="N18" i="6"/>
  <c r="N17" i="6"/>
  <c r="N16" i="6"/>
  <c r="N15" i="6"/>
  <c r="N14" i="6"/>
  <c r="N13" i="6"/>
  <c r="N12" i="6"/>
  <c r="N11" i="6"/>
  <c r="N10" i="6"/>
  <c r="N9" i="6"/>
  <c r="N8" i="6"/>
  <c r="O14" i="6" l="1"/>
  <c r="O22" i="6"/>
  <c r="O19" i="6"/>
  <c r="O8" i="6"/>
  <c r="L31" i="6" l="1"/>
  <c r="M8" i="6"/>
</calcChain>
</file>

<file path=xl/sharedStrings.xml><?xml version="1.0" encoding="utf-8"?>
<sst xmlns="http://schemas.openxmlformats.org/spreadsheetml/2006/main" count="161" uniqueCount="113">
  <si>
    <t>Onderzoeksgroep</t>
  </si>
  <si>
    <t>Opdrachtgever</t>
  </si>
  <si>
    <t>Docent</t>
  </si>
  <si>
    <t>Inleverdatum</t>
  </si>
  <si>
    <t>Leeruitkomst</t>
  </si>
  <si>
    <t>1 - uitmuntend</t>
  </si>
  <si>
    <t>2 - goed</t>
  </si>
  <si>
    <t>3 - voldoende</t>
  </si>
  <si>
    <t>4 - onvoldoende</t>
  </si>
  <si>
    <t>Beoordeling waarde 1,2,3 of 4 invullen</t>
  </si>
  <si>
    <t>Beoordeling 
Ketenonderzoek</t>
  </si>
  <si>
    <t>Waardering</t>
  </si>
  <si>
    <t>Beoordeling 
Ketenverbetering</t>
  </si>
  <si>
    <t>Define</t>
  </si>
  <si>
    <t>De projectgroep definieert potentie voor verbeteringen binnen het ketenproces (supply chain)</t>
  </si>
  <si>
    <t>Het probleem/verbeterpotentieel is gedefinieerd</t>
  </si>
  <si>
    <t>De projectgroep scoort meer dan goed</t>
  </si>
  <si>
    <t>En het probleem is verdiepend onderzocht en ingekaderd vanuit de literatuur.</t>
  </si>
  <si>
    <t>Alle 5 de W's komen adequaat naar voren in de probleemanalyse en deze zijn vanuit meerdere invalshoeken beschreven. Relevante fulfilmentt theorie is verkend met behulp van meerdere (theoretische) bronnen. De verwachtingen van de opdrachtgever ten aanzien van het projectresultaat zijn adequaat in kaart gebracht. De opdrachtgever is akkoord met de inhoud van de geformuleerde onderzoeksopdracht.</t>
  </si>
  <si>
    <t>De projectgroep voldoet niet aan de criteria voor voldoende</t>
  </si>
  <si>
    <t>Het te verbeteren ketenproces is globaal beschreven en visueel uitgewerkt a.d.h.v. one product of one part of productfamilie.</t>
  </si>
  <si>
    <t>Er is een uitgebreide rekenkundige onderbouwing</t>
  </si>
  <si>
    <t>De keuze is onderbouwd en voldoet aan de criteria stabiliteit en volume. De keuze voor de keten is beargumenteerd. Er zijn minimaal 2 ketenpartners beschreven. Er is duidelijk beschreven wie van de 2 ketenpartners de opdrachtgever is. Het organisatieonderdeel (bijvoorbeeld afdeling of bedrijfsonderdeel) waar de opdracht zich afspeelt is duidelijk omschreven. Er is een goede onderbouwing van de product oriëntatie. (zie pagina 13 studieboek Martichenko, 2010). Criteria zijn ondermeer 'hoog volume en stabiele klantvraag klantvraag'.</t>
  </si>
  <si>
    <t>De klantwens is bepaald</t>
  </si>
  <si>
    <t>Dit resultaat is gemeten en geïnterpreteerd.</t>
  </si>
  <si>
    <t xml:space="preserve">De doelstelling van het project is geformuleerd </t>
  </si>
  <si>
    <t>De doelstelling is onderbouwd met een benchmark en/of relevante (wetenschappelijke) publicatie.</t>
  </si>
  <si>
    <t>De doelstelling van het project is meetbaar, tijdsgeboden en volgt logisch uit de klantwens. Een schatting van de opbrengst in termen van profit, people en planet is gegeven.</t>
  </si>
  <si>
    <t>De hoofd- en deelvragen zijn duidelijk geformuleerd op basis van de DMAIC-structuur</t>
  </si>
  <si>
    <t>Aan alle aspecten van DMAIC wordt aandacht besteed.</t>
  </si>
  <si>
    <t>Het theoretisch kader is uitgewerkt</t>
  </si>
  <si>
    <t>Measure</t>
  </si>
  <si>
    <t>De projectgroep maakt een onderzoeksontwerp en een dataverzamelingsplan en een analyseplan voor de gedefinieerde ketenverbetering</t>
  </si>
  <si>
    <t>Er is een realistische planning voor het project opgesteld</t>
  </si>
  <si>
    <t>En er wordt rekening gehouden met minimale en maximale tijdsduur van activiteiten die helder onderbouwd wordt.</t>
  </si>
  <si>
    <t>De planning is haalbaar en volledig, risico's zijn benoemd en er zijn mitigerende maatregelen bepaald</t>
  </si>
  <si>
    <t>De beoogde metingen zijn bruikbaar</t>
  </si>
  <si>
    <t>En er wordt verantwoord waarom er voor deze metingen en methodes gekozen is. Er is aandacht voor validiteit en betrouwbaarheid.</t>
  </si>
  <si>
    <t>Iedere beoogde meting is beschreven en het geheel aan metingen stelt de projectgroep in staat om de prestaties m.b.t. de klantwens te meten en een current state (inclusief verspillingen) op te stellen voor de goederen/dienstenstroom, informatie- en geldstroom.</t>
  </si>
  <si>
    <t>De projectgroep verzamelt relevante data ten behoeve van het ketenproces (supply chain) gebruikmakend van diverse technieken en kan deze op waarde schatten</t>
  </si>
  <si>
    <t xml:space="preserve">De beoogde analyses geven relevante informatie </t>
  </si>
  <si>
    <t>En de gemaakte overwegingen en keuzes worden met relevante argumenten onderbouwd. Er is gebruik gemaakt van de guiding principles.</t>
  </si>
  <si>
    <t>De beoogde analyses stellen de projectgroep in staat om een verband te leggen tussen de prestaties m.b.t. de klantwens en de inrichting van het ketenproces.</t>
  </si>
  <si>
    <t>Data is op verschillende wijzen verzameld</t>
  </si>
  <si>
    <t>En er worden goede afwegingen gemaakt m.b.t. het presenteren van de data in de hoofdtekst of bijlages</t>
  </si>
  <si>
    <t>De verzamelde data is op waarde geschat</t>
  </si>
  <si>
    <t>Relevantie en kwaliteit op basis van betrouwbaarheid en validiteit van de verzamelde data is beschouwd en indien noodzakelijk zijn er extra metingen t.o.v. het meetplan uitgevoerd.</t>
  </si>
  <si>
    <t>Analyze</t>
  </si>
  <si>
    <t>De projectgroep zet data om in informatie en geeft deze op overzichtelijke wijze weer</t>
  </si>
  <si>
    <t>Verzamelde data is vertaald in een current state map</t>
  </si>
  <si>
    <t>En de diepgang van deze visualisatie is afgestemd op de complexiteit van het onderzoek.</t>
  </si>
  <si>
    <t>De prestaties m.b.t. de klantwens zijn overzichtelijk weergegeven in een passend format en de current state is opgesteld volgens een gangbare conventie voor de goederen/dienstenstroom, de informatie- en geldstroom</t>
  </si>
  <si>
    <t>Verzamelde data is geanalyseerd</t>
  </si>
  <si>
    <t>En er is sprake van een grondige analyse die overtuigend wordt gepresenteerd</t>
  </si>
  <si>
    <t>De prestaties m.b.t. de klantwens zijn verklaard vanuit de inrichting van het ketenproces (d.m.v. het gebruik van analysetechnieken en/of modellen) en de  lean fulfillment knelpunten in het ketenproces zijn benoemd.</t>
  </si>
  <si>
    <t>Oorzaken van knelpunten zijn achterhaald</t>
  </si>
  <si>
    <t>En er is helder onderbouwd welke oorzaken het meest relevant zijn voor dit onderzoek binnen de relevante onderzoeksgebieden (bijvoorbeeld customer collaboration en de overige 5 onderzoeksgebieden). Er is een toelichting gegeven op  de wijze waarop de verzamelde data is geanalyseerd.</t>
  </si>
  <si>
    <t>Improve</t>
  </si>
  <si>
    <t>De projectgroep stelt een onderbouwd verbeteradvies op waarbij rekening gehouden wordt met kosten en baten, risico's en impact op stakeholders</t>
  </si>
  <si>
    <t>Er zijn meerdere verbetersuggesties gegenereerd</t>
  </si>
  <si>
    <t>En deze suggesties verschillen van elkaar in onderwerp en termijn.</t>
  </si>
  <si>
    <t>Geen beoordeling</t>
  </si>
  <si>
    <t>De verbetersuggesties zijn gewogen</t>
  </si>
  <si>
    <t>De projectgroep maakt een implementatieplan voor een beoogde aanpassing aan een proces</t>
  </si>
  <si>
    <t>De beoogde aanpassingen zijn vertaald in een future state map en een GAP-analyse.</t>
  </si>
  <si>
    <t>En de diepgang van deze visualisatie is afgestemd op de complexiteit van het onderzoek. De GAP-analyse laat een duidelijk verschil zien tussen de current state en de future state en is gekoppeld aan de hoofdvraag.</t>
  </si>
  <si>
    <t>Mogelijke weerstand is in kaart gebracht</t>
  </si>
  <si>
    <t>En er wordt aandacht besteed aan de wijze waarop hier in de toekomst mee omgegaan kan worden</t>
  </si>
  <si>
    <t>Weerstand van interne en externe betrokken stakeholders is in kaart gebracht en er is draagvlak voor verbetering gecreëerd</t>
  </si>
  <si>
    <t>Control</t>
  </si>
  <si>
    <t>De projectgroep stelt een plan en meetinstrumenten op waarin staat hoe de resultaten geborgd worden</t>
  </si>
  <si>
    <t>Het implementatieplan is realistisch</t>
  </si>
  <si>
    <t>En er is overtuigend aangegeven op welke wijze dit doorgevoerd wordt bij de opdrachtgever</t>
  </si>
  <si>
    <t>Het borgingsplan garandeert een bestendige verbetering van het proces</t>
  </si>
  <si>
    <t>Er wordt overtuigend aangegeven op welke wijze dit is overgedragen aan de opdrachtgever</t>
  </si>
  <si>
    <t>Naast procedures of werkinstructies uitgewerkt zijn aanvullende middelen ingezet om het proces te borgen inclusief een uitvoerbaar  meetinstrument waarmee de procesprestatie inzichtelijk kan worden gemaakt</t>
  </si>
  <si>
    <t>Verantwoording onderzoeksresultaten</t>
  </si>
  <si>
    <t>Het onderzoeksrapport is aantrekkelijk gepresenteerd en kernachtig samengevat in een management samenvatting met een daarbij horende GAP-analayse.</t>
  </si>
  <si>
    <t>Kansen voor optimalisaties in de toekomst zijn benoemd</t>
  </si>
  <si>
    <t>En bij iedere kans wordt een eerste stap benoemd die gezet kan worden</t>
  </si>
  <si>
    <t>Er worden kansen voor verbetering benoemd  in het kader van continuous improvement op gebied van profit, people en planet</t>
  </si>
  <si>
    <t>Beoordeling</t>
  </si>
  <si>
    <t>Voldaan</t>
  </si>
  <si>
    <t>Niet voldaan</t>
  </si>
  <si>
    <t>=</t>
  </si>
  <si>
    <t>Uit de beschouwingen blijkt dat er sprake is van bewuste gemaakte keuzes m.b.t. betrouwbaarheid en validiteit.</t>
  </si>
  <si>
    <t xml:space="preserve">Het theoretisch kader is onderbouwd op basis van relevante theorie. Minimaal worden die onderzoeksgebieden en theoretische begrippen uitgewerkt die in direct verband staan met de hoofdvraag en/of doelstelling. </t>
  </si>
  <si>
    <t>Het verbeteradvies is overzichtelijk gepresenteerd in een posterpresentatie</t>
  </si>
  <si>
    <t>Op de poster staat de onderbouwing van de resultaten  met betrekking tot de analyse, afweging van verbetersuggesties, het implementatieplan en de borging. Ook is er aandacht besteedt aan de kosten en de opbrengsten.</t>
  </si>
  <si>
    <t>De hoofdvraag van het project is meetbaar en volgt logisch uit de klantwens. De hoofd- en deelvragen worden beantwoord in het rapport.</t>
  </si>
  <si>
    <t>Er zijn minimaal 3 verbetersuggesties gegenereerd met behulp van meerdere technieken (e.g. literatuur, brainstormsessies, benchmarks). In het onderzoeksrapport is het gekozen verbeteradvies verder uitgewerkt met een onderbouwing de benodigde investeringen en terugverdientijd.</t>
  </si>
  <si>
    <t>Voor alle verbetersuggesties zijn het resultaat en de impact op gebied van people, planet en profit beschreven en gewogen. De door te voeren suggesties zijn geselecteerd. Er is gebruik gemaakt van de gewogen factorscore methode.</t>
  </si>
  <si>
    <t>Er is een future state map van het proces na de beoogde aanpassingen opgesteld volgens gangbare conventie en de prestaties m.b.t. de klantwens in de nieuwe situatie zijn bepaald. Er is een GAP analyse uitgevoerd.</t>
  </si>
  <si>
    <t>Alle acties die benodigd zijn om de beoogde aanpassingen binnen het ketenproces door te voeren staan vermeld in het implementatieplan. Er is een inschatting gegeven van de benodigde tijd, middelen, kosten en verantwoordelijken.</t>
  </si>
  <si>
    <t>Minimaal 1 verbetersuggestie is bedacht op basis van literatuur of het uitvoeren van een benchmark en/of de wegigngscriteria zijn duidelijk toegelicht, voor elk verbetervoorstel is toegelicht hoe de scores tot stand komen.</t>
  </si>
  <si>
    <t>De klantwens is bepaald en uitgewerkt tot een relevant meetbaar resultaat</t>
  </si>
  <si>
    <t>Er zijn meer dan 2 verschillende technieken gebruikt om data te verzamelen en de data is zorgvuldig geregistreerd. De current state is volgens een gangbare conventies opgesteld.</t>
  </si>
  <si>
    <t>Oorzaken van de belangrijkste knelpunten zijn achterhaald inclusief hun impact, in kaart gebracht en geverifieerd met interne en externe stakeholders door bijvoorbeeld een visgraagdiagram of een andere analysemethode</t>
  </si>
  <si>
    <t>Het onderzoeksrapport heeft een goede structuur, heeft een nette opmaak, is correct geschreven, voldoet aan APA en max 9000 woorden en is op tijd ingeleverd? Aan de voorwaarden voor schrijfvaardigheid en rapportage, het gebruik van GenAI en de evaluatie van de groepssamenwerking wordt voldaan. Bij eventuele herkansingen dienen de wijziging te zijn gearceerd.</t>
  </si>
  <si>
    <t>Feedback / Opmerkingen 2e beoordelaar</t>
  </si>
  <si>
    <t>Beoordelingscriteria: Ketenonderzoek: voldaan/niet voldaan (2 kansen), Ketenverbetering summatieve beoordeling over het totale rapport (2 kansen)</t>
  </si>
  <si>
    <t>1 manier van dataverzameling (AI tool) aanvullende onderbouwing dmv. Literatuuronderzoek is mogelijk</t>
  </si>
  <si>
    <t>Dit is heel belangrijk. Hoe betrouwbaar en valide is de informatie die jullie vinden? Hoe loopt de validatie door de opdrachtgever? Wat zijn de verschillen tussen AI data en informatie van de opdrachtgever?</t>
  </si>
  <si>
    <t>Current state kan opgesteld worden.</t>
  </si>
  <si>
    <t>Analyse is mogelijk op basis van de verzamelde data</t>
  </si>
  <si>
    <t>De keten is globaal omschreven. De schakels in de keten zijn toegelicht, er zijn minimaal 2 ketenpartners omschreven. Het is niet nodig om een onderbouwing te geven over stabiliteit van afzet in cijfers, als het mogelijk is probeer te focussen op een productgroep (bijvoorbeeld de banden van Scania) of onderdeel (bijvoorbeeld de spatborden van Scania)</t>
  </si>
  <si>
    <t>Doelstelling is niet SMART te formuleren, maar het is wel mogelijk om in hoofdlijnen te bepalen wat de uitkomst van het project moet zijn. Denk ook aan alternatieve supply chain prestaties, zoals CO2 uitstoot, Maatschappelijk Verantwoord Ondernemen binnen de keten, CSRD compliance, retourestromen, afvalvermindering, recyclingpercentages, ...</t>
  </si>
  <si>
    <t xml:space="preserve">Hoofd- en deelvragen kunnen opgesteld worden, Koppeling met DMAIC wordt lastig maar ook niet per se verplicht </t>
  </si>
  <si>
    <t>Meetplan kan opgesteld worden. Wat wil je dmv. Het AI tool onderzoeken? Op welke informatie ben je naar op zoek? Welke alternatieve bronnen ga je raadplegen? Literatuuronderzoek, benchmarks, publicaties,…</t>
  </si>
  <si>
    <t>Het probleem is niet duidelijk geformuleerd vanuit de opdrachtgever. Verwachting van de opdrachtgever (=het lectoraat) kan wel in kaart gebracht worden. Welke (mogelijke) problemen willen jullie onderzoeken? Wat verwacht de opdrachtgever (=het lectoraat Supply Chain Finance) van jullie?</t>
  </si>
  <si>
    <t>De klantwens is niet meetbaar voor dit project en wordt pas achteraf gevalideerd met de klant. Jullie kunnen echter wel toelichten hoe dit proces gaat lopen. Wat wil de opdrachtgever (=het lectoraat Supply Chain Finance) van jullie zien? Is er sprake van twee klanten (het bedrijf en het lectoraat?)</t>
  </si>
  <si>
    <t>Knelpunten kunnen achterhaald en mogelijk ook gevalideerd worden met de opdrachtgever tijdens de presentatie</t>
  </si>
  <si>
    <t>Aangepaste beoordelingscriterium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</si>
</sst>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0_ ;_ * \-#,##0.0_ ;_ * &quot;-&quot;??_ ;_ @_ "/>
  </numFmts>
  <fonts count="14" x14ac:knownFonts="1">
    <font>
      <sz val="11"/>
      <color theme="1"/>
      <name val="Calibri"/>
      <family val="2"/>
      <scheme val="minor"/>
    </font>
    <font>
      <sz val="11"/>
      <color theme="1"/>
      <name val="Transit-Normal"/>
    </font>
    <font>
      <b/>
      <sz val="11"/>
      <color theme="0"/>
      <name val="Transit-Normal"/>
    </font>
    <font>
      <b/>
      <sz val="11"/>
      <color theme="1"/>
      <name val="Transit-Normal"/>
    </font>
    <font>
      <sz val="9"/>
      <color theme="1"/>
      <name val="Calibri"/>
      <family val="2"/>
      <scheme val="minor"/>
    </font>
    <font>
      <sz val="11"/>
      <name val="Transit-Normal"/>
    </font>
    <font>
      <b/>
      <sz val="11"/>
      <color rgb="FFFFFFFF"/>
      <name val="Transit-Normal"/>
    </font>
    <font>
      <b/>
      <sz val="36"/>
      <color theme="0"/>
      <name val="Calibri"/>
      <family val="2"/>
      <scheme val="minor"/>
    </font>
    <font>
      <sz val="36"/>
      <color theme="0"/>
      <name val="Calibri"/>
      <family val="2"/>
      <scheme val="minor"/>
    </font>
    <font>
      <sz val="11"/>
      <color theme="1"/>
      <name val="Calibri"/>
      <family val="2"/>
      <scheme val="minor"/>
    </font>
    <font>
      <sz val="25"/>
      <color theme="1"/>
      <name val="Calibri"/>
      <family val="2"/>
      <scheme val="minor"/>
    </font>
    <font>
      <sz val="35"/>
      <color theme="1"/>
      <name val="Calibri"/>
      <family val="2"/>
      <scheme val="minor"/>
    </font>
    <font>
      <sz val="35"/>
      <name val="Calibri"/>
      <family val="2"/>
      <scheme val="minor"/>
    </font>
    <font>
      <b/>
      <sz val="11"/>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3" tint="0.39997558519241921"/>
        <bgColor indexed="64"/>
      </patternFill>
    </fill>
    <fill>
      <patternFill patternType="solid">
        <fgColor theme="9" tint="0.79998168889431442"/>
        <bgColor indexed="64"/>
      </patternFill>
    </fill>
    <fill>
      <patternFill patternType="solid">
        <fgColor rgb="FF538DD5"/>
        <bgColor rgb="FF000000"/>
      </patternFill>
    </fill>
    <fill>
      <patternFill patternType="solid">
        <fgColor theme="4"/>
        <bgColor indexed="64"/>
      </patternFill>
    </fill>
    <fill>
      <patternFill patternType="solid">
        <fgColor theme="0" tint="-4.9989318521683403E-2"/>
        <bgColor indexed="64"/>
      </patternFill>
    </fill>
    <fill>
      <patternFill patternType="solid">
        <fgColor rgb="FF00B0F0"/>
        <bgColor indexed="64"/>
      </patternFill>
    </fill>
    <fill>
      <patternFill patternType="solid">
        <fgColor rgb="FF00B050"/>
        <bgColor indexed="64"/>
      </patternFill>
    </fill>
    <fill>
      <patternFill patternType="solid">
        <fgColor theme="4" tint="0.79998168889431442"/>
        <bgColor indexed="64"/>
      </patternFill>
    </fill>
    <fill>
      <patternFill patternType="solid">
        <fgColor rgb="FFFFFF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s>
  <cellStyleXfs count="2">
    <xf numFmtId="0" fontId="0" fillId="0" borderId="0"/>
    <xf numFmtId="43" fontId="9" fillId="0" borderId="0" applyFont="0" applyFill="0" applyBorder="0" applyAlignment="0" applyProtection="0"/>
  </cellStyleXfs>
  <cellXfs count="66">
    <xf numFmtId="0" fontId="0" fillId="0" borderId="0" xfId="0"/>
    <xf numFmtId="0" fontId="1" fillId="2" borderId="0" xfId="0" applyFont="1" applyFill="1"/>
    <xf numFmtId="0" fontId="0" fillId="2" borderId="0" xfId="0" applyFill="1"/>
    <xf numFmtId="0" fontId="1" fillId="0" borderId="0" xfId="0" applyFont="1"/>
    <xf numFmtId="0" fontId="0" fillId="0" borderId="0" xfId="0" applyAlignment="1">
      <alignment vertical="top"/>
    </xf>
    <xf numFmtId="0" fontId="6" fillId="5" borderId="1" xfId="0" applyFont="1" applyFill="1" applyBorder="1" applyAlignment="1">
      <alignment horizontal="center" vertical="top"/>
    </xf>
    <xf numFmtId="0" fontId="2" fillId="3" borderId="1" xfId="0" applyFont="1" applyFill="1" applyBorder="1" applyAlignment="1">
      <alignment horizontal="center" vertical="top"/>
    </xf>
    <xf numFmtId="0" fontId="4" fillId="2" borderId="11" xfId="0" applyFont="1" applyFill="1" applyBorder="1" applyAlignment="1">
      <alignment horizontal="center"/>
    </xf>
    <xf numFmtId="0" fontId="4" fillId="2" borderId="10" xfId="0" applyFont="1" applyFill="1" applyBorder="1" applyAlignment="1">
      <alignment horizontal="center"/>
    </xf>
    <xf numFmtId="0" fontId="7" fillId="6" borderId="0" xfId="0" applyFont="1" applyFill="1" applyAlignment="1">
      <alignment horizontal="right" vertical="center"/>
    </xf>
    <xf numFmtId="0" fontId="0" fillId="2" borderId="0" xfId="0" applyFill="1" applyAlignment="1">
      <alignment horizontal="center" vertical="center"/>
    </xf>
    <xf numFmtId="0" fontId="1" fillId="7" borderId="1" xfId="0" applyFont="1" applyFill="1" applyBorder="1" applyAlignment="1">
      <alignment horizontal="left" vertical="center" wrapText="1"/>
    </xf>
    <xf numFmtId="0" fontId="2" fillId="3" borderId="1" xfId="0" applyFont="1" applyFill="1" applyBorder="1" applyAlignment="1">
      <alignment vertical="top" wrapText="1"/>
    </xf>
    <xf numFmtId="0" fontId="2" fillId="3" borderId="1" xfId="0" applyFont="1" applyFill="1" applyBorder="1" applyAlignment="1">
      <alignment horizontal="center" vertical="top" wrapText="1"/>
    </xf>
    <xf numFmtId="0" fontId="0" fillId="11" borderId="1" xfId="0" applyFill="1" applyBorder="1" applyAlignment="1">
      <alignment vertical="center"/>
    </xf>
    <xf numFmtId="0" fontId="13" fillId="0" borderId="0" xfId="0" applyFont="1"/>
    <xf numFmtId="0" fontId="1" fillId="7" borderId="1" xfId="0" applyFont="1" applyFill="1" applyBorder="1" applyAlignment="1">
      <alignment horizontal="center" vertical="top" wrapText="1"/>
    </xf>
    <xf numFmtId="0" fontId="0" fillId="2" borderId="15" xfId="0" applyFill="1" applyBorder="1" applyAlignment="1">
      <alignment vertical="center" wrapText="1"/>
    </xf>
    <xf numFmtId="0" fontId="0" fillId="2" borderId="16" xfId="0" applyFill="1" applyBorder="1" applyAlignment="1">
      <alignment vertical="center" wrapText="1"/>
    </xf>
    <xf numFmtId="0" fontId="0" fillId="2" borderId="17" xfId="0" applyFill="1" applyBorder="1" applyAlignment="1">
      <alignment vertical="center" wrapText="1"/>
    </xf>
    <xf numFmtId="0" fontId="0" fillId="2" borderId="18" xfId="0" applyFill="1" applyBorder="1" applyAlignment="1">
      <alignment vertical="center" wrapText="1"/>
    </xf>
    <xf numFmtId="0" fontId="0" fillId="2" borderId="19" xfId="0" applyFill="1" applyBorder="1" applyAlignment="1">
      <alignment vertical="center" wrapText="1"/>
    </xf>
    <xf numFmtId="0" fontId="0" fillId="2" borderId="20" xfId="0" applyFill="1" applyBorder="1" applyAlignment="1">
      <alignment vertical="center" wrapText="1"/>
    </xf>
    <xf numFmtId="0" fontId="0" fillId="0" borderId="17" xfId="0" applyBorder="1" applyAlignment="1">
      <alignment vertical="center" wrapText="1"/>
    </xf>
    <xf numFmtId="0" fontId="0" fillId="0" borderId="18" xfId="0" applyBorder="1" applyAlignment="1">
      <alignment vertical="center" wrapText="1"/>
    </xf>
    <xf numFmtId="0" fontId="0" fillId="0" borderId="21" xfId="0" applyBorder="1" applyAlignment="1">
      <alignment vertical="center" wrapText="1"/>
    </xf>
    <xf numFmtId="0" fontId="0" fillId="0" borderId="22" xfId="0" applyBorder="1" applyAlignment="1">
      <alignment vertical="center" wrapText="1"/>
    </xf>
    <xf numFmtId="0" fontId="0" fillId="2" borderId="23" xfId="0" applyFill="1" applyBorder="1" applyAlignment="1">
      <alignment vertical="center" wrapText="1"/>
    </xf>
    <xf numFmtId="0" fontId="0" fillId="2" borderId="24" xfId="0" applyFill="1" applyBorder="1" applyAlignment="1">
      <alignment vertical="center" wrapText="1"/>
    </xf>
    <xf numFmtId="0" fontId="2" fillId="3" borderId="12" xfId="0" applyFont="1" applyFill="1" applyBorder="1" applyAlignment="1">
      <alignment horizontal="center" vertical="top" wrapText="1"/>
    </xf>
    <xf numFmtId="0" fontId="3" fillId="4" borderId="12" xfId="0" applyFont="1" applyFill="1" applyBorder="1" applyAlignment="1">
      <alignment horizontal="center" vertical="center" textRotation="90"/>
    </xf>
    <xf numFmtId="0" fontId="3" fillId="4" borderId="14" xfId="0" applyFont="1" applyFill="1" applyBorder="1" applyAlignment="1">
      <alignment horizontal="center" vertical="center" textRotation="90"/>
    </xf>
    <xf numFmtId="0" fontId="3" fillId="4" borderId="13" xfId="0" applyFont="1" applyFill="1" applyBorder="1" applyAlignment="1">
      <alignment horizontal="center" vertical="center" textRotation="90"/>
    </xf>
    <xf numFmtId="0" fontId="1" fillId="10" borderId="1" xfId="0" applyFont="1" applyFill="1" applyBorder="1" applyAlignment="1">
      <alignment horizontal="center" vertical="center" wrapText="1"/>
    </xf>
    <xf numFmtId="0" fontId="1" fillId="2" borderId="3" xfId="0" applyFont="1" applyFill="1" applyBorder="1" applyAlignment="1">
      <alignment horizontal="left" vertical="center" wrapText="1"/>
    </xf>
    <xf numFmtId="0" fontId="1" fillId="2" borderId="4" xfId="0" applyFont="1" applyFill="1" applyBorder="1" applyAlignment="1">
      <alignment horizontal="left" vertical="center" wrapText="1"/>
    </xf>
    <xf numFmtId="0" fontId="3" fillId="10" borderId="1" xfId="0" applyFont="1" applyFill="1" applyBorder="1" applyAlignment="1">
      <alignment horizontal="left" vertical="top" wrapText="1"/>
    </xf>
    <xf numFmtId="0" fontId="2" fillId="3" borderId="3" xfId="0" applyFont="1" applyFill="1" applyBorder="1" applyAlignment="1">
      <alignment horizontal="center" vertical="top"/>
    </xf>
    <xf numFmtId="0" fontId="2" fillId="3" borderId="4" xfId="0" applyFont="1" applyFill="1" applyBorder="1" applyAlignment="1">
      <alignment horizontal="center" vertical="top"/>
    </xf>
    <xf numFmtId="0" fontId="3" fillId="4" borderId="1" xfId="0" applyFont="1" applyFill="1" applyBorder="1" applyAlignment="1">
      <alignment horizontal="center" vertical="center" textRotation="90"/>
    </xf>
    <xf numFmtId="0" fontId="0" fillId="10" borderId="1" xfId="0" applyFill="1" applyBorder="1" applyAlignment="1">
      <alignment wrapText="1"/>
    </xf>
    <xf numFmtId="164" fontId="11" fillId="9" borderId="5" xfId="1" applyNumberFormat="1" applyFont="1" applyFill="1" applyBorder="1" applyAlignment="1">
      <alignment horizontal="center" vertical="center"/>
    </xf>
    <xf numFmtId="164" fontId="11" fillId="9" borderId="6" xfId="1" applyNumberFormat="1" applyFont="1" applyFill="1" applyBorder="1" applyAlignment="1">
      <alignment horizontal="center" vertical="center"/>
    </xf>
    <xf numFmtId="164" fontId="11" fillId="9" borderId="9" xfId="1" applyNumberFormat="1" applyFont="1" applyFill="1" applyBorder="1" applyAlignment="1">
      <alignment horizontal="center" vertical="center"/>
    </xf>
    <xf numFmtId="0" fontId="10" fillId="8" borderId="5" xfId="0" applyFont="1" applyFill="1" applyBorder="1" applyAlignment="1">
      <alignment horizontal="center" vertical="center" textRotation="90"/>
    </xf>
    <xf numFmtId="0" fontId="10" fillId="8" borderId="6" xfId="0" applyFont="1" applyFill="1" applyBorder="1" applyAlignment="1">
      <alignment horizontal="center" vertical="center" textRotation="90"/>
    </xf>
    <xf numFmtId="0" fontId="10" fillId="8" borderId="9" xfId="0" applyFont="1" applyFill="1" applyBorder="1" applyAlignment="1">
      <alignment horizontal="center" vertical="center" textRotation="90"/>
    </xf>
    <xf numFmtId="0" fontId="10" fillId="9" borderId="12" xfId="0" applyFont="1" applyFill="1" applyBorder="1" applyAlignment="1">
      <alignment horizontal="center" vertical="center" textRotation="90"/>
    </xf>
    <xf numFmtId="0" fontId="10" fillId="9" borderId="14" xfId="0" applyFont="1" applyFill="1" applyBorder="1" applyAlignment="1">
      <alignment horizontal="center" vertical="center" textRotation="90"/>
    </xf>
    <xf numFmtId="0" fontId="10" fillId="9" borderId="13" xfId="0" applyFont="1" applyFill="1" applyBorder="1" applyAlignment="1">
      <alignment horizontal="center" vertical="center" textRotation="90"/>
    </xf>
    <xf numFmtId="164" fontId="12" fillId="9" borderId="5" xfId="1" applyNumberFormat="1" applyFont="1" applyFill="1" applyBorder="1" applyAlignment="1">
      <alignment horizontal="center" vertical="center"/>
    </xf>
    <xf numFmtId="164" fontId="12" fillId="9" borderId="6" xfId="1" applyNumberFormat="1" applyFont="1" applyFill="1" applyBorder="1" applyAlignment="1">
      <alignment horizontal="center" vertical="center"/>
    </xf>
    <xf numFmtId="164" fontId="12" fillId="9" borderId="9" xfId="1" applyNumberFormat="1" applyFont="1" applyFill="1" applyBorder="1" applyAlignment="1">
      <alignment horizontal="center" vertical="center"/>
    </xf>
    <xf numFmtId="0" fontId="1" fillId="10" borderId="5" xfId="0" applyFont="1" applyFill="1" applyBorder="1" applyAlignment="1">
      <alignment horizontal="center" vertical="center" wrapText="1"/>
    </xf>
    <xf numFmtId="0" fontId="1" fillId="10" borderId="7" xfId="0" applyFont="1" applyFill="1" applyBorder="1" applyAlignment="1">
      <alignment horizontal="center" vertical="center" wrapText="1"/>
    </xf>
    <xf numFmtId="0" fontId="1" fillId="10" borderId="6" xfId="0" applyFont="1" applyFill="1" applyBorder="1" applyAlignment="1">
      <alignment horizontal="center" vertical="center" wrapText="1"/>
    </xf>
    <xf numFmtId="0" fontId="1" fillId="10" borderId="8" xfId="0" applyFont="1" applyFill="1" applyBorder="1" applyAlignment="1">
      <alignment horizontal="center" vertical="center" wrapText="1"/>
    </xf>
    <xf numFmtId="0" fontId="1" fillId="10" borderId="9" xfId="0" applyFont="1" applyFill="1" applyBorder="1" applyAlignment="1">
      <alignment horizontal="center" vertical="center" wrapText="1"/>
    </xf>
    <xf numFmtId="0" fontId="1" fillId="10" borderId="10" xfId="0" applyFont="1" applyFill="1" applyBorder="1" applyAlignment="1">
      <alignment horizontal="center" vertical="center" wrapText="1"/>
    </xf>
    <xf numFmtId="0" fontId="0" fillId="10" borderId="1" xfId="0" applyFill="1" applyBorder="1" applyAlignment="1">
      <alignment horizontal="center" vertical="center" wrapText="1"/>
    </xf>
    <xf numFmtId="164" fontId="8" fillId="6" borderId="2" xfId="1" applyNumberFormat="1" applyFont="1" applyFill="1" applyBorder="1" applyAlignment="1">
      <alignment horizontal="center"/>
    </xf>
    <xf numFmtId="164" fontId="8" fillId="6" borderId="3" xfId="1" applyNumberFormat="1" applyFont="1" applyFill="1" applyBorder="1" applyAlignment="1">
      <alignment horizontal="center"/>
    </xf>
    <xf numFmtId="0" fontId="0" fillId="0" borderId="1" xfId="0" applyBorder="1" applyAlignment="1">
      <alignment horizontal="center" vertical="center" wrapText="1"/>
    </xf>
    <xf numFmtId="0" fontId="5" fillId="7" borderId="1" xfId="0" applyFont="1" applyFill="1" applyBorder="1" applyAlignment="1">
      <alignment horizontal="left" vertical="center" wrapText="1"/>
    </xf>
    <xf numFmtId="0" fontId="0" fillId="11" borderId="2" xfId="0" applyFill="1" applyBorder="1" applyAlignment="1">
      <alignment horizontal="center" vertical="center"/>
    </xf>
    <xf numFmtId="0" fontId="0" fillId="11" borderId="3" xfId="0" applyFill="1" applyBorder="1" applyAlignment="1">
      <alignment horizontal="center" vertical="center"/>
    </xf>
  </cellXfs>
  <cellStyles count="2">
    <cellStyle name="Komma" xfId="1" builtinId="3"/>
    <cellStyle name="Standaard" xfId="0" builtinId="0"/>
  </cellStyles>
  <dxfs count="23">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BC783-F503-436E-91F6-43A380C10367}">
  <sheetPr>
    <pageSetUpPr fitToPage="1"/>
  </sheetPr>
  <dimension ref="A1:AC31"/>
  <sheetViews>
    <sheetView tabSelected="1" view="pageBreakPreview" topLeftCell="K1" zoomScale="85" zoomScaleNormal="85" zoomScaleSheetLayoutView="85" workbookViewId="0">
      <selection activeCell="P8" sqref="P8"/>
    </sheetView>
  </sheetViews>
  <sheetFormatPr defaultColWidth="8.88671875" defaultRowHeight="14.4" x14ac:dyDescent="0.3"/>
  <cols>
    <col min="1" max="1" width="3.109375" customWidth="1"/>
    <col min="2" max="2" width="11.109375" customWidth="1"/>
    <col min="3" max="3" width="2.5546875" customWidth="1"/>
    <col min="4" max="4" width="30.109375" customWidth="1"/>
    <col min="5" max="5" width="8.44140625" customWidth="1"/>
    <col min="6" max="6" width="22.6640625" customWidth="1"/>
    <col min="7" max="7" width="24.109375" customWidth="1"/>
    <col min="8" max="8" width="16.44140625" style="4" bestFit="1" customWidth="1"/>
    <col min="9" max="9" width="36.44140625" style="4" customWidth="1"/>
    <col min="10" max="10" width="76.5546875" style="4" customWidth="1"/>
    <col min="11" max="11" width="20.6640625" style="4" bestFit="1" customWidth="1"/>
    <col min="12" max="12" width="24" customWidth="1"/>
    <col min="13" max="13" width="18.6640625" customWidth="1"/>
    <col min="14" max="14" width="3.88671875" hidden="1" customWidth="1"/>
    <col min="15" max="15" width="21.6640625" customWidth="1"/>
    <col min="16" max="17" width="83.6640625" customWidth="1"/>
    <col min="30" max="30" width="8.88671875" customWidth="1"/>
  </cols>
  <sheetData>
    <row r="1" spans="1:29" x14ac:dyDescent="0.3">
      <c r="D1" s="15" t="s">
        <v>100</v>
      </c>
    </row>
    <row r="2" spans="1:29" x14ac:dyDescent="0.3">
      <c r="D2" s="15" t="s">
        <v>0</v>
      </c>
    </row>
    <row r="3" spans="1:29" x14ac:dyDescent="0.3">
      <c r="D3" s="15" t="s">
        <v>1</v>
      </c>
    </row>
    <row r="4" spans="1:29" x14ac:dyDescent="0.3">
      <c r="D4" s="15" t="s">
        <v>2</v>
      </c>
    </row>
    <row r="5" spans="1:29" x14ac:dyDescent="0.3">
      <c r="D5" s="15" t="s">
        <v>3</v>
      </c>
    </row>
    <row r="7" spans="1:29" s="3" customFormat="1" ht="33.6" customHeight="1" thickBot="1" x14ac:dyDescent="0.35">
      <c r="A7" s="1"/>
      <c r="B7" s="1"/>
      <c r="C7" s="36" t="s">
        <v>4</v>
      </c>
      <c r="D7" s="36"/>
      <c r="E7" s="37"/>
      <c r="F7" s="37"/>
      <c r="G7" s="38"/>
      <c r="H7" s="5" t="s">
        <v>5</v>
      </c>
      <c r="I7" s="5" t="s">
        <v>6</v>
      </c>
      <c r="J7" s="6" t="s">
        <v>7</v>
      </c>
      <c r="K7" s="5" t="s">
        <v>8</v>
      </c>
      <c r="L7" s="13" t="s">
        <v>9</v>
      </c>
      <c r="M7" s="12" t="s">
        <v>10</v>
      </c>
      <c r="N7" s="12" t="s">
        <v>11</v>
      </c>
      <c r="O7" s="12" t="s">
        <v>12</v>
      </c>
      <c r="P7" s="29" t="s">
        <v>112</v>
      </c>
      <c r="Q7" s="29" t="s">
        <v>99</v>
      </c>
      <c r="R7" s="1"/>
      <c r="S7" s="1"/>
      <c r="T7" s="1"/>
      <c r="U7" s="1"/>
      <c r="V7" s="1"/>
      <c r="W7" s="1"/>
      <c r="X7" s="1"/>
      <c r="Y7" s="1"/>
      <c r="Z7" s="1"/>
      <c r="AA7" s="1"/>
      <c r="AB7" s="1"/>
      <c r="AC7" s="1"/>
    </row>
    <row r="8" spans="1:29" ht="97.2" customHeight="1" thickTop="1" x14ac:dyDescent="0.3">
      <c r="A8" s="2"/>
      <c r="B8" s="39" t="s">
        <v>13</v>
      </c>
      <c r="C8" s="33" t="s">
        <v>14</v>
      </c>
      <c r="D8" s="40"/>
      <c r="E8" s="34" t="s">
        <v>15</v>
      </c>
      <c r="F8" s="34"/>
      <c r="G8" s="35"/>
      <c r="H8" s="11" t="s">
        <v>16</v>
      </c>
      <c r="I8" s="11" t="s">
        <v>17</v>
      </c>
      <c r="J8" s="11" t="s">
        <v>18</v>
      </c>
      <c r="K8" s="11" t="s">
        <v>19</v>
      </c>
      <c r="L8" s="14">
        <v>1</v>
      </c>
      <c r="M8" s="44" t="str">
        <f>IF(AVERAGE(O8,O14,O19)&gt;=5.5,IF(L30=Keuzelijst!$F$1,"Voldaan","Niet voldaan"),"Niet voldaan")</f>
        <v>Voldaan</v>
      </c>
      <c r="N8" s="10">
        <f>VLOOKUP(L8,Keuzelijst!$A$8:$C$11,3,FALSE)</f>
        <v>10</v>
      </c>
      <c r="O8" s="41">
        <f>AVERAGE(N8:N13)</f>
        <v>10</v>
      </c>
      <c r="P8" s="17" t="s">
        <v>109</v>
      </c>
      <c r="Q8" s="18"/>
      <c r="R8" s="2"/>
      <c r="S8" s="2"/>
      <c r="T8" s="2"/>
      <c r="U8" s="2"/>
      <c r="V8" s="2"/>
      <c r="W8" s="2"/>
      <c r="X8" s="2"/>
      <c r="Y8" s="2"/>
      <c r="Z8" s="2"/>
      <c r="AA8" s="2"/>
      <c r="AB8" s="2"/>
      <c r="AC8" s="2"/>
    </row>
    <row r="9" spans="1:29" ht="106.2" customHeight="1" x14ac:dyDescent="0.3">
      <c r="A9" s="2"/>
      <c r="B9" s="39"/>
      <c r="C9" s="40"/>
      <c r="D9" s="40"/>
      <c r="E9" s="34" t="s">
        <v>20</v>
      </c>
      <c r="F9" s="34"/>
      <c r="G9" s="35"/>
      <c r="H9" s="11" t="s">
        <v>16</v>
      </c>
      <c r="I9" s="11" t="s">
        <v>21</v>
      </c>
      <c r="J9" s="11" t="s">
        <v>22</v>
      </c>
      <c r="K9" s="11" t="s">
        <v>19</v>
      </c>
      <c r="L9" s="14">
        <v>1</v>
      </c>
      <c r="M9" s="45"/>
      <c r="N9" s="10">
        <f>VLOOKUP(L9,Keuzelijst!$A$8:$C$11,3,FALSE)</f>
        <v>10</v>
      </c>
      <c r="O9" s="42"/>
      <c r="P9" s="19" t="s">
        <v>105</v>
      </c>
      <c r="Q9" s="20"/>
      <c r="R9" s="2"/>
      <c r="S9" s="2"/>
      <c r="T9" s="2"/>
      <c r="U9" s="2"/>
      <c r="V9" s="2"/>
      <c r="W9" s="2"/>
      <c r="X9" s="2"/>
      <c r="Y9" s="2"/>
      <c r="Z9" s="2"/>
      <c r="AA9" s="2"/>
      <c r="AB9" s="2"/>
      <c r="AC9" s="2"/>
    </row>
    <row r="10" spans="1:29" ht="57.6" x14ac:dyDescent="0.3">
      <c r="A10" s="2"/>
      <c r="B10" s="39"/>
      <c r="C10" s="40"/>
      <c r="D10" s="40"/>
      <c r="E10" s="34" t="s">
        <v>23</v>
      </c>
      <c r="F10" s="34"/>
      <c r="G10" s="35"/>
      <c r="H10" s="11" t="s">
        <v>16</v>
      </c>
      <c r="I10" s="11" t="s">
        <v>24</v>
      </c>
      <c r="J10" s="11" t="s">
        <v>95</v>
      </c>
      <c r="K10" s="11" t="s">
        <v>19</v>
      </c>
      <c r="L10" s="14">
        <v>1</v>
      </c>
      <c r="M10" s="45"/>
      <c r="N10" s="10">
        <f>VLOOKUP(L10,Keuzelijst!$A$8:$C$11,3,FALSE)</f>
        <v>10</v>
      </c>
      <c r="O10" s="42"/>
      <c r="P10" s="19" t="s">
        <v>110</v>
      </c>
      <c r="Q10" s="20"/>
      <c r="R10" s="2"/>
      <c r="S10" s="2"/>
      <c r="T10" s="2"/>
      <c r="U10" s="2"/>
      <c r="V10" s="2"/>
      <c r="W10" s="2"/>
      <c r="X10" s="2"/>
      <c r="Y10" s="2"/>
      <c r="Z10" s="2"/>
      <c r="AA10" s="2"/>
      <c r="AB10" s="2"/>
      <c r="AC10" s="2"/>
    </row>
    <row r="11" spans="1:29" ht="57.6" customHeight="1" x14ac:dyDescent="0.3">
      <c r="A11" s="2"/>
      <c r="B11" s="39"/>
      <c r="C11" s="40"/>
      <c r="D11" s="40"/>
      <c r="E11" s="34" t="s">
        <v>25</v>
      </c>
      <c r="F11" s="34"/>
      <c r="G11" s="35"/>
      <c r="H11" s="11" t="s">
        <v>16</v>
      </c>
      <c r="I11" s="11" t="s">
        <v>26</v>
      </c>
      <c r="J11" s="11" t="s">
        <v>27</v>
      </c>
      <c r="K11" s="11" t="s">
        <v>19</v>
      </c>
      <c r="L11" s="14">
        <v>1</v>
      </c>
      <c r="M11" s="45"/>
      <c r="N11" s="10">
        <f>VLOOKUP(L11,Keuzelijst!$A$8:$C$11,3,FALSE)</f>
        <v>10</v>
      </c>
      <c r="O11" s="42"/>
      <c r="P11" s="19" t="s">
        <v>106</v>
      </c>
      <c r="Q11" s="20"/>
      <c r="R11" s="2"/>
      <c r="S11" s="2"/>
      <c r="T11" s="2"/>
      <c r="U11" s="2"/>
      <c r="V11" s="2"/>
      <c r="W11" s="2"/>
      <c r="X11" s="2"/>
      <c r="Y11" s="2"/>
      <c r="Z11" s="2"/>
      <c r="AA11" s="2"/>
      <c r="AB11" s="2"/>
      <c r="AC11" s="2"/>
    </row>
    <row r="12" spans="1:29" ht="57.6" customHeight="1" x14ac:dyDescent="0.3">
      <c r="A12" s="2"/>
      <c r="B12" s="39"/>
      <c r="C12" s="40"/>
      <c r="D12" s="40"/>
      <c r="E12" s="34" t="s">
        <v>28</v>
      </c>
      <c r="F12" s="34"/>
      <c r="G12" s="35"/>
      <c r="H12" s="11" t="s">
        <v>16</v>
      </c>
      <c r="I12" s="11" t="s">
        <v>29</v>
      </c>
      <c r="J12" s="11" t="s">
        <v>89</v>
      </c>
      <c r="K12" s="11" t="s">
        <v>19</v>
      </c>
      <c r="L12" s="14">
        <v>1</v>
      </c>
      <c r="M12" s="45"/>
      <c r="N12" s="10">
        <f>VLOOKUP(L12,Keuzelijst!$A$8:$C$11,3,FALSE)</f>
        <v>10</v>
      </c>
      <c r="O12" s="42"/>
      <c r="P12" s="19" t="s">
        <v>107</v>
      </c>
      <c r="Q12" s="20"/>
      <c r="R12" s="2"/>
      <c r="S12" s="2"/>
      <c r="T12" s="2"/>
      <c r="U12" s="2"/>
      <c r="V12" s="2"/>
      <c r="W12" s="2"/>
      <c r="X12" s="2"/>
      <c r="Y12" s="2"/>
      <c r="Z12" s="2"/>
      <c r="AA12" s="2"/>
      <c r="AB12" s="2"/>
      <c r="AC12" s="2"/>
    </row>
    <row r="13" spans="1:29" ht="57.6" customHeight="1" thickBot="1" x14ac:dyDescent="0.35">
      <c r="A13" s="2"/>
      <c r="B13" s="39"/>
      <c r="C13" s="40"/>
      <c r="D13" s="40"/>
      <c r="E13" s="34" t="s">
        <v>30</v>
      </c>
      <c r="F13" s="34"/>
      <c r="G13" s="35"/>
      <c r="H13" s="11" t="s">
        <v>16</v>
      </c>
      <c r="I13" s="11" t="s">
        <v>17</v>
      </c>
      <c r="J13" s="11" t="s">
        <v>86</v>
      </c>
      <c r="K13" s="11" t="s">
        <v>19</v>
      </c>
      <c r="L13" s="14">
        <v>1</v>
      </c>
      <c r="M13" s="45"/>
      <c r="N13" s="10">
        <f>VLOOKUP(L13,Keuzelijst!$A$8:$C$11,3,FALSE)</f>
        <v>10</v>
      </c>
      <c r="O13" s="43"/>
      <c r="P13" s="21"/>
      <c r="Q13" s="22"/>
      <c r="R13" s="2"/>
      <c r="S13" s="2"/>
      <c r="T13" s="2"/>
      <c r="U13" s="2"/>
      <c r="V13" s="2"/>
      <c r="W13" s="2"/>
      <c r="X13" s="2"/>
      <c r="Y13" s="2"/>
      <c r="Z13" s="2"/>
      <c r="AA13" s="2"/>
      <c r="AB13" s="2"/>
      <c r="AC13" s="2"/>
    </row>
    <row r="14" spans="1:29" ht="57.6" customHeight="1" thickTop="1" x14ac:dyDescent="0.3">
      <c r="A14" s="2"/>
      <c r="B14" s="30" t="s">
        <v>31</v>
      </c>
      <c r="C14" s="33" t="s">
        <v>32</v>
      </c>
      <c r="D14" s="33"/>
      <c r="E14" s="34" t="s">
        <v>33</v>
      </c>
      <c r="F14" s="34"/>
      <c r="G14" s="35"/>
      <c r="H14" s="11" t="s">
        <v>16</v>
      </c>
      <c r="I14" s="11" t="s">
        <v>34</v>
      </c>
      <c r="J14" s="11" t="s">
        <v>35</v>
      </c>
      <c r="K14" s="11" t="s">
        <v>19</v>
      </c>
      <c r="L14" s="14">
        <v>1</v>
      </c>
      <c r="M14" s="45"/>
      <c r="N14" s="10">
        <f>VLOOKUP(L14,Keuzelijst!$A$8:$C$11,3,FALSE)</f>
        <v>10</v>
      </c>
      <c r="O14" s="50">
        <f>AVERAGE(N14:N18)</f>
        <v>10</v>
      </c>
      <c r="P14" s="17"/>
      <c r="Q14" s="18"/>
      <c r="R14" s="2"/>
      <c r="S14" s="2"/>
      <c r="T14" s="2"/>
      <c r="U14" s="2"/>
      <c r="V14" s="2"/>
      <c r="W14" s="2"/>
      <c r="X14" s="2"/>
      <c r="Y14" s="2"/>
      <c r="Z14" s="2"/>
      <c r="AA14" s="2"/>
      <c r="AB14" s="2"/>
      <c r="AC14" s="2"/>
    </row>
    <row r="15" spans="1:29" ht="57.6" customHeight="1" x14ac:dyDescent="0.3">
      <c r="A15" s="2"/>
      <c r="B15" s="31"/>
      <c r="C15" s="33"/>
      <c r="D15" s="33"/>
      <c r="E15" s="34" t="s">
        <v>36</v>
      </c>
      <c r="F15" s="34"/>
      <c r="G15" s="35"/>
      <c r="H15" s="11" t="s">
        <v>16</v>
      </c>
      <c r="I15" s="11" t="s">
        <v>37</v>
      </c>
      <c r="J15" s="11" t="s">
        <v>38</v>
      </c>
      <c r="K15" s="11" t="s">
        <v>19</v>
      </c>
      <c r="L15" s="14">
        <v>1</v>
      </c>
      <c r="M15" s="45"/>
      <c r="N15" s="10">
        <f>VLOOKUP(L15,Keuzelijst!$A$8:$C$11,3,FALSE)</f>
        <v>10</v>
      </c>
      <c r="O15" s="51"/>
      <c r="P15" s="23" t="s">
        <v>108</v>
      </c>
      <c r="Q15" s="24"/>
      <c r="R15" s="2"/>
      <c r="S15" s="2"/>
      <c r="T15" s="2"/>
      <c r="U15" s="2"/>
      <c r="V15" s="2"/>
      <c r="W15" s="2"/>
      <c r="X15" s="2"/>
      <c r="Y15" s="2"/>
      <c r="Z15" s="2"/>
      <c r="AA15" s="2"/>
      <c r="AB15" s="2"/>
      <c r="AC15" s="2"/>
    </row>
    <row r="16" spans="1:29" ht="57.6" customHeight="1" x14ac:dyDescent="0.3">
      <c r="A16" s="2"/>
      <c r="B16" s="31"/>
      <c r="C16" s="53" t="s">
        <v>39</v>
      </c>
      <c r="D16" s="54"/>
      <c r="E16" s="34" t="s">
        <v>40</v>
      </c>
      <c r="F16" s="34"/>
      <c r="G16" s="35"/>
      <c r="H16" s="11" t="s">
        <v>16</v>
      </c>
      <c r="I16" s="11" t="s">
        <v>41</v>
      </c>
      <c r="J16" s="11" t="s">
        <v>42</v>
      </c>
      <c r="K16" s="11" t="s">
        <v>19</v>
      </c>
      <c r="L16" s="14">
        <v>1</v>
      </c>
      <c r="M16" s="45"/>
      <c r="N16" s="10">
        <f>VLOOKUP(L16,Keuzelijst!$A$8:$C$11,3,FALSE)</f>
        <v>10</v>
      </c>
      <c r="O16" s="51"/>
      <c r="P16" s="19"/>
      <c r="Q16" s="20"/>
      <c r="R16" s="2"/>
      <c r="S16" s="2"/>
      <c r="T16" s="2"/>
      <c r="U16" s="2"/>
      <c r="V16" s="2"/>
      <c r="W16" s="2"/>
      <c r="X16" s="2"/>
      <c r="Y16" s="2"/>
      <c r="Z16" s="2"/>
      <c r="AA16" s="2"/>
      <c r="AB16" s="2"/>
      <c r="AC16" s="2"/>
    </row>
    <row r="17" spans="1:29" ht="57.6" customHeight="1" x14ac:dyDescent="0.3">
      <c r="A17" s="2"/>
      <c r="B17" s="31"/>
      <c r="C17" s="55"/>
      <c r="D17" s="56"/>
      <c r="E17" s="34" t="s">
        <v>43</v>
      </c>
      <c r="F17" s="34"/>
      <c r="G17" s="35"/>
      <c r="H17" s="11" t="s">
        <v>16</v>
      </c>
      <c r="I17" s="11" t="s">
        <v>44</v>
      </c>
      <c r="J17" s="11" t="s">
        <v>96</v>
      </c>
      <c r="K17" s="11" t="s">
        <v>19</v>
      </c>
      <c r="L17" s="14">
        <v>1</v>
      </c>
      <c r="M17" s="45"/>
      <c r="N17" s="10">
        <f>VLOOKUP(L17,Keuzelijst!$A$8:$C$11,3,FALSE)</f>
        <v>10</v>
      </c>
      <c r="O17" s="51"/>
      <c r="P17" s="19" t="s">
        <v>101</v>
      </c>
      <c r="Q17" s="20"/>
      <c r="R17" s="2"/>
      <c r="S17" s="2"/>
      <c r="T17" s="2"/>
      <c r="U17" s="2"/>
      <c r="V17" s="2"/>
      <c r="W17" s="2"/>
      <c r="X17" s="2"/>
      <c r="Y17" s="2"/>
      <c r="Z17" s="2"/>
      <c r="AA17" s="2"/>
      <c r="AB17" s="2"/>
      <c r="AC17" s="2"/>
    </row>
    <row r="18" spans="1:29" ht="57.6" customHeight="1" thickBot="1" x14ac:dyDescent="0.35">
      <c r="A18" s="2"/>
      <c r="B18" s="32"/>
      <c r="C18" s="57"/>
      <c r="D18" s="58"/>
      <c r="E18" s="34" t="s">
        <v>45</v>
      </c>
      <c r="F18" s="34"/>
      <c r="G18" s="35"/>
      <c r="H18" s="11" t="s">
        <v>16</v>
      </c>
      <c r="I18" s="11" t="s">
        <v>85</v>
      </c>
      <c r="J18" s="11" t="s">
        <v>46</v>
      </c>
      <c r="K18" s="11" t="s">
        <v>19</v>
      </c>
      <c r="L18" s="14">
        <v>1</v>
      </c>
      <c r="M18" s="45"/>
      <c r="N18" s="10">
        <f>VLOOKUP(L18,Keuzelijst!$A$8:$C$11,3,FALSE)</f>
        <v>10</v>
      </c>
      <c r="O18" s="52"/>
      <c r="P18" s="21" t="s">
        <v>102</v>
      </c>
      <c r="Q18" s="22"/>
      <c r="R18" s="2"/>
      <c r="S18" s="2"/>
      <c r="T18" s="2"/>
      <c r="U18" s="2"/>
      <c r="V18" s="2"/>
      <c r="W18" s="2"/>
      <c r="X18" s="2"/>
      <c r="Y18" s="2"/>
      <c r="Z18" s="2"/>
      <c r="AA18" s="2"/>
      <c r="AB18" s="2"/>
      <c r="AC18" s="2"/>
    </row>
    <row r="19" spans="1:29" ht="57.6" customHeight="1" thickTop="1" x14ac:dyDescent="0.3">
      <c r="A19" s="2"/>
      <c r="B19" s="30" t="s">
        <v>47</v>
      </c>
      <c r="C19" s="53" t="s">
        <v>48</v>
      </c>
      <c r="D19" s="54"/>
      <c r="E19" s="34" t="s">
        <v>49</v>
      </c>
      <c r="F19" s="34"/>
      <c r="G19" s="35"/>
      <c r="H19" s="11" t="s">
        <v>16</v>
      </c>
      <c r="I19" s="11" t="s">
        <v>50</v>
      </c>
      <c r="J19" s="11" t="s">
        <v>51</v>
      </c>
      <c r="K19" s="11" t="s">
        <v>19</v>
      </c>
      <c r="L19" s="14">
        <v>1</v>
      </c>
      <c r="M19" s="45"/>
      <c r="N19" s="10">
        <f>VLOOKUP(L19,Keuzelijst!$A$8:$C$11,3,FALSE)</f>
        <v>10</v>
      </c>
      <c r="O19" s="41">
        <f>AVERAGE(N19:N21)</f>
        <v>10</v>
      </c>
      <c r="P19" s="17" t="s">
        <v>103</v>
      </c>
      <c r="Q19" s="18"/>
      <c r="R19" s="2"/>
      <c r="S19" s="2"/>
      <c r="T19" s="2"/>
      <c r="U19" s="2"/>
      <c r="V19" s="2"/>
      <c r="W19" s="2"/>
      <c r="X19" s="2"/>
      <c r="Y19" s="2"/>
      <c r="Z19" s="2"/>
      <c r="AA19" s="2"/>
      <c r="AB19" s="2"/>
      <c r="AC19" s="2"/>
    </row>
    <row r="20" spans="1:29" ht="57.6" customHeight="1" x14ac:dyDescent="0.3">
      <c r="A20" s="2"/>
      <c r="B20" s="31"/>
      <c r="C20" s="55"/>
      <c r="D20" s="56"/>
      <c r="E20" s="34" t="s">
        <v>52</v>
      </c>
      <c r="F20" s="34"/>
      <c r="G20" s="35"/>
      <c r="H20" s="11" t="s">
        <v>16</v>
      </c>
      <c r="I20" s="11" t="s">
        <v>53</v>
      </c>
      <c r="J20" s="11" t="s">
        <v>54</v>
      </c>
      <c r="K20" s="11" t="s">
        <v>19</v>
      </c>
      <c r="L20" s="14">
        <v>1</v>
      </c>
      <c r="M20" s="45"/>
      <c r="N20" s="10">
        <f>VLOOKUP(L20,Keuzelijst!$A$8:$C$11,3,FALSE)</f>
        <v>10</v>
      </c>
      <c r="O20" s="42"/>
      <c r="P20" s="19" t="s">
        <v>104</v>
      </c>
      <c r="Q20" s="20"/>
      <c r="R20" s="2"/>
      <c r="S20" s="2"/>
      <c r="T20" s="2"/>
      <c r="U20" s="2"/>
      <c r="V20" s="2"/>
      <c r="W20" s="2"/>
      <c r="X20" s="2"/>
      <c r="Y20" s="2"/>
      <c r="Z20" s="2"/>
      <c r="AA20" s="2"/>
      <c r="AB20" s="2"/>
      <c r="AC20" s="2"/>
    </row>
    <row r="21" spans="1:29" ht="132.6" customHeight="1" thickBot="1" x14ac:dyDescent="0.35">
      <c r="A21" s="2"/>
      <c r="B21" s="32"/>
      <c r="C21" s="57"/>
      <c r="D21" s="58"/>
      <c r="E21" s="34" t="s">
        <v>55</v>
      </c>
      <c r="F21" s="34"/>
      <c r="G21" s="35"/>
      <c r="H21" s="11" t="s">
        <v>16</v>
      </c>
      <c r="I21" s="11" t="s">
        <v>56</v>
      </c>
      <c r="J21" s="11" t="s">
        <v>97</v>
      </c>
      <c r="K21" s="11" t="s">
        <v>19</v>
      </c>
      <c r="L21" s="14">
        <v>1</v>
      </c>
      <c r="M21" s="46"/>
      <c r="N21" s="10">
        <f>VLOOKUP(L21,Keuzelijst!$A$8:$C$11,3,FALSE)</f>
        <v>10</v>
      </c>
      <c r="O21" s="43"/>
      <c r="P21" s="21" t="s">
        <v>111</v>
      </c>
      <c r="Q21" s="22"/>
      <c r="R21" s="2"/>
      <c r="S21" s="2"/>
      <c r="T21" s="2"/>
      <c r="U21" s="2"/>
      <c r="V21" s="2"/>
      <c r="W21" s="2"/>
      <c r="X21" s="2"/>
      <c r="Y21" s="2"/>
      <c r="Z21" s="2"/>
      <c r="AA21" s="2"/>
      <c r="AB21" s="2"/>
      <c r="AC21" s="2"/>
    </row>
    <row r="22" spans="1:29" ht="58.2" thickTop="1" x14ac:dyDescent="0.3">
      <c r="A22" s="2"/>
      <c r="B22" s="30" t="s">
        <v>57</v>
      </c>
      <c r="C22" s="53" t="s">
        <v>58</v>
      </c>
      <c r="D22" s="54"/>
      <c r="E22" s="34" t="s">
        <v>59</v>
      </c>
      <c r="F22" s="34"/>
      <c r="G22" s="35"/>
      <c r="H22" s="11" t="s">
        <v>16</v>
      </c>
      <c r="I22" s="11" t="s">
        <v>60</v>
      </c>
      <c r="J22" s="11" t="s">
        <v>90</v>
      </c>
      <c r="K22" s="11" t="s">
        <v>19</v>
      </c>
      <c r="L22" s="14">
        <v>1</v>
      </c>
      <c r="M22" s="47" t="s">
        <v>61</v>
      </c>
      <c r="N22" s="10">
        <f>VLOOKUP(L22,Keuzelijst!$A$8:$C$11,3,FALSE)</f>
        <v>10</v>
      </c>
      <c r="O22" s="42">
        <f>AVERAGE(N22:N25)</f>
        <v>10</v>
      </c>
      <c r="P22" s="17"/>
      <c r="Q22" s="18"/>
      <c r="R22" s="2"/>
      <c r="S22" s="2"/>
      <c r="T22" s="2"/>
      <c r="U22" s="2"/>
      <c r="V22" s="2"/>
      <c r="W22" s="2"/>
      <c r="X22" s="2"/>
      <c r="Y22" s="2"/>
      <c r="Z22" s="2"/>
      <c r="AA22" s="2"/>
      <c r="AB22" s="2"/>
      <c r="AC22" s="2"/>
    </row>
    <row r="23" spans="1:29" ht="98.4" customHeight="1" x14ac:dyDescent="0.3">
      <c r="A23" s="2"/>
      <c r="B23" s="31"/>
      <c r="C23" s="57"/>
      <c r="D23" s="58"/>
      <c r="E23" s="34" t="s">
        <v>62</v>
      </c>
      <c r="F23" s="34"/>
      <c r="G23" s="35"/>
      <c r="H23" s="11" t="s">
        <v>16</v>
      </c>
      <c r="I23" s="11" t="s">
        <v>94</v>
      </c>
      <c r="J23" s="11" t="s">
        <v>91</v>
      </c>
      <c r="K23" s="11" t="s">
        <v>19</v>
      </c>
      <c r="L23" s="14">
        <v>1</v>
      </c>
      <c r="M23" s="48"/>
      <c r="N23" s="10">
        <f>VLOOKUP(L23,Keuzelijst!$A$8:$C$11,3,FALSE)</f>
        <v>10</v>
      </c>
      <c r="O23" s="42"/>
      <c r="P23" s="19"/>
      <c r="Q23" s="20"/>
      <c r="R23" s="2"/>
      <c r="S23" s="2"/>
      <c r="T23" s="2"/>
      <c r="U23" s="2"/>
      <c r="V23" s="2"/>
      <c r="W23" s="2"/>
      <c r="X23" s="2"/>
      <c r="Y23" s="2"/>
      <c r="Z23" s="2"/>
      <c r="AA23" s="2"/>
      <c r="AB23" s="2"/>
      <c r="AC23" s="2"/>
    </row>
    <row r="24" spans="1:29" ht="86.4" customHeight="1" x14ac:dyDescent="0.3">
      <c r="A24" s="2"/>
      <c r="B24" s="31"/>
      <c r="C24" s="33" t="s">
        <v>63</v>
      </c>
      <c r="D24" s="40"/>
      <c r="E24" s="34" t="s">
        <v>64</v>
      </c>
      <c r="F24" s="34"/>
      <c r="G24" s="35"/>
      <c r="H24" s="11" t="s">
        <v>16</v>
      </c>
      <c r="I24" s="11" t="s">
        <v>65</v>
      </c>
      <c r="J24" s="11" t="s">
        <v>92</v>
      </c>
      <c r="K24" s="11" t="s">
        <v>19</v>
      </c>
      <c r="L24" s="14">
        <v>1</v>
      </c>
      <c r="M24" s="48"/>
      <c r="N24" s="10">
        <f>VLOOKUP(L24,Keuzelijst!$A$8:$C$11,3,FALSE)</f>
        <v>10</v>
      </c>
      <c r="O24" s="42"/>
      <c r="P24" s="19"/>
      <c r="Q24" s="20"/>
      <c r="R24" s="2"/>
      <c r="S24" s="2"/>
      <c r="T24" s="2"/>
      <c r="U24" s="2"/>
      <c r="V24" s="2"/>
      <c r="W24" s="2"/>
      <c r="X24" s="2"/>
      <c r="Y24" s="2"/>
      <c r="Z24" s="2"/>
      <c r="AA24" s="2"/>
      <c r="AB24" s="2"/>
      <c r="AC24" s="2"/>
    </row>
    <row r="25" spans="1:29" ht="57.6" customHeight="1" thickBot="1" x14ac:dyDescent="0.35">
      <c r="A25" s="2"/>
      <c r="B25" s="32"/>
      <c r="C25" s="40"/>
      <c r="D25" s="40"/>
      <c r="E25" s="34" t="s">
        <v>66</v>
      </c>
      <c r="F25" s="34"/>
      <c r="G25" s="35"/>
      <c r="H25" s="11" t="s">
        <v>16</v>
      </c>
      <c r="I25" s="11" t="s">
        <v>67</v>
      </c>
      <c r="J25" s="11" t="s">
        <v>68</v>
      </c>
      <c r="K25" s="11" t="s">
        <v>19</v>
      </c>
      <c r="L25" s="14">
        <v>1</v>
      </c>
      <c r="M25" s="49"/>
      <c r="N25" s="10">
        <f>VLOOKUP(L25,Keuzelijst!$A$8:$C$11,3,FALSE)</f>
        <v>10</v>
      </c>
      <c r="O25" s="43"/>
      <c r="P25" s="21"/>
      <c r="Q25" s="22"/>
      <c r="R25" s="2"/>
      <c r="S25" s="2"/>
      <c r="T25" s="2"/>
      <c r="U25" s="2"/>
      <c r="V25" s="2"/>
      <c r="W25" s="2"/>
      <c r="X25" s="2"/>
      <c r="Y25" s="2"/>
      <c r="Z25" s="2"/>
      <c r="AA25" s="2"/>
      <c r="AB25" s="2"/>
      <c r="AC25" s="2"/>
    </row>
    <row r="26" spans="1:29" ht="76.5" customHeight="1" thickTop="1" x14ac:dyDescent="0.3">
      <c r="A26" s="2"/>
      <c r="B26" s="30" t="s">
        <v>69</v>
      </c>
      <c r="C26" s="33" t="s">
        <v>70</v>
      </c>
      <c r="D26" s="59"/>
      <c r="E26" s="34" t="s">
        <v>71</v>
      </c>
      <c r="F26" s="34"/>
      <c r="G26" s="35"/>
      <c r="H26" s="11" t="s">
        <v>16</v>
      </c>
      <c r="I26" s="11" t="s">
        <v>72</v>
      </c>
      <c r="J26" s="11" t="s">
        <v>93</v>
      </c>
      <c r="K26" s="11" t="s">
        <v>19</v>
      </c>
      <c r="L26" s="14">
        <v>1</v>
      </c>
      <c r="M26" s="47" t="s">
        <v>61</v>
      </c>
      <c r="N26" s="10">
        <f>VLOOKUP(L26,Keuzelijst!$A$8:$C$11,3,FALSE)</f>
        <v>10</v>
      </c>
      <c r="O26" s="41">
        <f>AVERAGE(N26:N29)</f>
        <v>10</v>
      </c>
      <c r="P26" s="17"/>
      <c r="Q26" s="18"/>
      <c r="R26" s="2"/>
      <c r="S26" s="2"/>
      <c r="T26" s="2"/>
      <c r="U26" s="2"/>
      <c r="V26" s="2"/>
      <c r="W26" s="2"/>
      <c r="X26" s="2"/>
      <c r="Y26" s="2"/>
      <c r="Z26" s="2"/>
      <c r="AA26" s="2"/>
      <c r="AB26" s="2"/>
      <c r="AC26" s="2"/>
    </row>
    <row r="27" spans="1:29" ht="57.6" customHeight="1" thickBot="1" x14ac:dyDescent="0.35">
      <c r="A27" s="2"/>
      <c r="B27" s="32"/>
      <c r="C27" s="59"/>
      <c r="D27" s="59"/>
      <c r="E27" s="34" t="s">
        <v>73</v>
      </c>
      <c r="F27" s="34"/>
      <c r="G27" s="35"/>
      <c r="H27" s="11" t="s">
        <v>16</v>
      </c>
      <c r="I27" s="11" t="s">
        <v>74</v>
      </c>
      <c r="J27" s="11" t="s">
        <v>75</v>
      </c>
      <c r="K27" s="11" t="s">
        <v>19</v>
      </c>
      <c r="L27" s="14">
        <v>1</v>
      </c>
      <c r="M27" s="48"/>
      <c r="N27" s="10">
        <f>VLOOKUP(L27,Keuzelijst!$A$8:$C$11,3,FALSE)</f>
        <v>10</v>
      </c>
      <c r="O27" s="42"/>
      <c r="P27" s="21"/>
      <c r="Q27" s="22"/>
      <c r="R27" s="2"/>
      <c r="S27" s="2"/>
      <c r="T27" s="2"/>
      <c r="U27" s="2"/>
      <c r="V27" s="2"/>
      <c r="W27" s="2"/>
      <c r="X27" s="2"/>
      <c r="Y27" s="2"/>
      <c r="Z27" s="2"/>
      <c r="AA27" s="2"/>
      <c r="AB27" s="2"/>
      <c r="AC27" s="2"/>
    </row>
    <row r="28" spans="1:29" ht="74.400000000000006" customHeight="1" thickTop="1" x14ac:dyDescent="0.3">
      <c r="A28" s="2"/>
      <c r="B28" s="30"/>
      <c r="C28" s="33" t="s">
        <v>76</v>
      </c>
      <c r="D28" s="59"/>
      <c r="E28" s="34" t="s">
        <v>87</v>
      </c>
      <c r="F28" s="34"/>
      <c r="G28" s="35"/>
      <c r="H28" s="11" t="s">
        <v>16</v>
      </c>
      <c r="I28" s="11" t="s">
        <v>77</v>
      </c>
      <c r="J28" s="11" t="s">
        <v>88</v>
      </c>
      <c r="K28" s="11" t="s">
        <v>19</v>
      </c>
      <c r="L28" s="14">
        <v>1</v>
      </c>
      <c r="M28" s="48"/>
      <c r="N28" s="10">
        <f>VLOOKUP(L28,Keuzelijst!$A$8:$C$11,3,FALSE)</f>
        <v>10</v>
      </c>
      <c r="O28" s="42"/>
      <c r="P28" s="27"/>
      <c r="Q28" s="28"/>
      <c r="R28" s="2"/>
      <c r="S28" s="2"/>
      <c r="T28" s="2"/>
      <c r="U28" s="2"/>
      <c r="V28" s="2"/>
      <c r="W28" s="2"/>
      <c r="X28" s="2"/>
      <c r="Y28" s="2"/>
      <c r="Z28" s="2"/>
      <c r="AA28" s="2"/>
      <c r="AB28" s="2"/>
      <c r="AC28" s="2"/>
    </row>
    <row r="29" spans="1:29" ht="57.6" customHeight="1" thickBot="1" x14ac:dyDescent="0.35">
      <c r="A29" s="2"/>
      <c r="B29" s="32"/>
      <c r="C29" s="59"/>
      <c r="D29" s="59"/>
      <c r="E29" s="34" t="s">
        <v>78</v>
      </c>
      <c r="F29" s="34"/>
      <c r="G29" s="35"/>
      <c r="H29" s="11" t="s">
        <v>16</v>
      </c>
      <c r="I29" s="11" t="s">
        <v>79</v>
      </c>
      <c r="J29" s="11" t="s">
        <v>80</v>
      </c>
      <c r="K29" s="11" t="s">
        <v>19</v>
      </c>
      <c r="L29" s="14">
        <v>1</v>
      </c>
      <c r="M29" s="49"/>
      <c r="N29" s="10">
        <f>VLOOKUP(L29,Keuzelijst!$A$8:$C$11,3,FALSE)</f>
        <v>10</v>
      </c>
      <c r="O29" s="43"/>
      <c r="P29" s="21"/>
      <c r="Q29" s="22"/>
      <c r="R29" s="2"/>
      <c r="S29" s="2"/>
      <c r="T29" s="2"/>
      <c r="U29" s="2"/>
      <c r="V29" s="2"/>
      <c r="W29" s="2"/>
      <c r="X29" s="2"/>
      <c r="Y29" s="2"/>
      <c r="Z29" s="2"/>
      <c r="AA29" s="2"/>
      <c r="AB29" s="2"/>
      <c r="AC29" s="2"/>
    </row>
    <row r="30" spans="1:29" ht="49.5" customHeight="1" thickTop="1" thickBot="1" x14ac:dyDescent="0.35">
      <c r="C30" s="62"/>
      <c r="D30" s="62"/>
      <c r="E30" s="7"/>
      <c r="F30" s="7"/>
      <c r="G30" s="8"/>
      <c r="H30" s="16"/>
      <c r="I30" s="63" t="s">
        <v>98</v>
      </c>
      <c r="J30" s="63"/>
      <c r="K30" s="63"/>
      <c r="L30" s="64" t="s">
        <v>82</v>
      </c>
      <c r="M30" s="65"/>
      <c r="N30" s="65"/>
      <c r="O30" s="65"/>
      <c r="P30" s="25"/>
      <c r="Q30" s="26"/>
    </row>
    <row r="31" spans="1:29" ht="57" customHeight="1" thickTop="1" x14ac:dyDescent="0.85">
      <c r="H31" s="9"/>
      <c r="I31" s="9" t="s">
        <v>81</v>
      </c>
      <c r="J31" s="9"/>
      <c r="K31" s="9"/>
      <c r="L31" s="60">
        <f>IF(L30=Keuzelijst!$F$1,AVERAGE(O26,O22,O19,O14,O8),4)</f>
        <v>10</v>
      </c>
      <c r="M31" s="61"/>
      <c r="N31" s="61"/>
      <c r="O31" s="61"/>
    </row>
  </sheetData>
  <sheetProtection formatRows="0"/>
  <mergeCells count="50">
    <mergeCell ref="L31:O31"/>
    <mergeCell ref="C30:D30"/>
    <mergeCell ref="I30:K30"/>
    <mergeCell ref="L30:O30"/>
    <mergeCell ref="M26:M29"/>
    <mergeCell ref="O26:O29"/>
    <mergeCell ref="E27:G27"/>
    <mergeCell ref="B28:B29"/>
    <mergeCell ref="C28:D29"/>
    <mergeCell ref="E28:G28"/>
    <mergeCell ref="E29:G29"/>
    <mergeCell ref="E25:G25"/>
    <mergeCell ref="B26:B27"/>
    <mergeCell ref="C26:D27"/>
    <mergeCell ref="E26:G26"/>
    <mergeCell ref="B22:B25"/>
    <mergeCell ref="C22:D23"/>
    <mergeCell ref="E22:G22"/>
    <mergeCell ref="M22:M25"/>
    <mergeCell ref="O22:O25"/>
    <mergeCell ref="O14:O18"/>
    <mergeCell ref="E15:G15"/>
    <mergeCell ref="C16:D18"/>
    <mergeCell ref="E16:G16"/>
    <mergeCell ref="E17:G17"/>
    <mergeCell ref="E18:G18"/>
    <mergeCell ref="C19:D21"/>
    <mergeCell ref="E19:G19"/>
    <mergeCell ref="O19:O21"/>
    <mergeCell ref="E20:G20"/>
    <mergeCell ref="E21:G21"/>
    <mergeCell ref="E23:G23"/>
    <mergeCell ref="C24:D25"/>
    <mergeCell ref="E24:G24"/>
    <mergeCell ref="O8:O13"/>
    <mergeCell ref="E9:G9"/>
    <mergeCell ref="E10:G10"/>
    <mergeCell ref="E11:G11"/>
    <mergeCell ref="E12:G12"/>
    <mergeCell ref="E13:G13"/>
    <mergeCell ref="M8:M21"/>
    <mergeCell ref="B14:B18"/>
    <mergeCell ref="C14:D15"/>
    <mergeCell ref="E14:G14"/>
    <mergeCell ref="B19:B21"/>
    <mergeCell ref="C7:D7"/>
    <mergeCell ref="E7:G7"/>
    <mergeCell ref="B8:B13"/>
    <mergeCell ref="C8:D13"/>
    <mergeCell ref="E8:G8"/>
  </mergeCells>
  <conditionalFormatting sqref="E8:K8">
    <cfRule type="expression" dxfId="22" priority="25">
      <formula>$L$8=4</formula>
    </cfRule>
  </conditionalFormatting>
  <conditionalFormatting sqref="E9:K9">
    <cfRule type="expression" dxfId="21" priority="22">
      <formula>$L$9=4</formula>
    </cfRule>
  </conditionalFormatting>
  <conditionalFormatting sqref="E10:K10">
    <cfRule type="expression" dxfId="20" priority="21">
      <formula>$L$10=4</formula>
    </cfRule>
  </conditionalFormatting>
  <conditionalFormatting sqref="E11:K11">
    <cfRule type="expression" dxfId="19" priority="20">
      <formula>$L$11=4</formula>
    </cfRule>
  </conditionalFormatting>
  <conditionalFormatting sqref="E12:K12">
    <cfRule type="expression" dxfId="18" priority="19">
      <formula>$L$12=4</formula>
    </cfRule>
  </conditionalFormatting>
  <conditionalFormatting sqref="E13:K13">
    <cfRule type="expression" dxfId="17" priority="18">
      <formula>$L$13=4</formula>
    </cfRule>
  </conditionalFormatting>
  <conditionalFormatting sqref="E14:K14">
    <cfRule type="expression" dxfId="16" priority="17">
      <formula>$L$14=4</formula>
    </cfRule>
  </conditionalFormatting>
  <conditionalFormatting sqref="E15:K15">
    <cfRule type="expression" dxfId="15" priority="16">
      <formula>$L$15=4</formula>
    </cfRule>
  </conditionalFormatting>
  <conditionalFormatting sqref="E16:K16">
    <cfRule type="expression" dxfId="14" priority="15">
      <formula>$L$16=4</formula>
    </cfRule>
  </conditionalFormatting>
  <conditionalFormatting sqref="E17:K17">
    <cfRule type="expression" dxfId="13" priority="14">
      <formula>$L$17=4</formula>
    </cfRule>
  </conditionalFormatting>
  <conditionalFormatting sqref="E18:K18">
    <cfRule type="expression" dxfId="12" priority="13">
      <formula>$L$18=4</formula>
    </cfRule>
  </conditionalFormatting>
  <conditionalFormatting sqref="E19:K19">
    <cfRule type="expression" dxfId="11" priority="12">
      <formula>$L$19=4</formula>
    </cfRule>
  </conditionalFormatting>
  <conditionalFormatting sqref="E20:K20">
    <cfRule type="expression" dxfId="10" priority="11">
      <formula>$L$20=4</formula>
    </cfRule>
  </conditionalFormatting>
  <conditionalFormatting sqref="E21:K21">
    <cfRule type="expression" dxfId="9" priority="10">
      <formula>$L$21=4</formula>
    </cfRule>
  </conditionalFormatting>
  <conditionalFormatting sqref="E22:K22">
    <cfRule type="expression" dxfId="8" priority="9">
      <formula>$L$22=4</formula>
    </cfRule>
  </conditionalFormatting>
  <conditionalFormatting sqref="E23:K23">
    <cfRule type="expression" dxfId="7" priority="8">
      <formula>$L$23=4</formula>
    </cfRule>
  </conditionalFormatting>
  <conditionalFormatting sqref="E24:K24">
    <cfRule type="expression" dxfId="6" priority="7">
      <formula>$L$24=4</formula>
    </cfRule>
  </conditionalFormatting>
  <conditionalFormatting sqref="E25:K25">
    <cfRule type="expression" dxfId="5" priority="6">
      <formula>$L$25=4</formula>
    </cfRule>
  </conditionalFormatting>
  <conditionalFormatting sqref="E26:K26">
    <cfRule type="expression" dxfId="4" priority="5">
      <formula>$L$26=4</formula>
    </cfRule>
  </conditionalFormatting>
  <conditionalFormatting sqref="E27:K27">
    <cfRule type="expression" dxfId="3" priority="4">
      <formula>$L$27=4</formula>
    </cfRule>
  </conditionalFormatting>
  <conditionalFormatting sqref="E28:K28">
    <cfRule type="expression" dxfId="2" priority="3">
      <formula>$L$28=4</formula>
    </cfRule>
  </conditionalFormatting>
  <conditionalFormatting sqref="E29:K29">
    <cfRule type="expression" dxfId="1" priority="2">
      <formula>$L$29=4</formula>
    </cfRule>
  </conditionalFormatting>
  <conditionalFormatting sqref="L8:L31">
    <cfRule type="expression" dxfId="0" priority="1">
      <formula>#REF!&gt;1</formula>
    </cfRule>
  </conditionalFormatting>
  <pageMargins left="0.70866141732283472" right="0.70866141732283472" top="0.74803149606299213" bottom="0.74803149606299213" header="0.31496062992125984" footer="0.31496062992125984"/>
  <pageSetup paperSize="8" scale="32"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errorTitle="Onjuiste waarde" error="Selecteer een getal dat overeenkomt met de beoordeling" promptTitle="Beoordeling" prompt="Voer hier de beoordeling van dit criteria in" xr:uid="{A3E18E4D-497F-41C4-814B-244EDDC6D24E}">
          <x14:formula1>
            <xm:f>Keuzelijst!$A$1:$A$4</xm:f>
          </x14:formula1>
          <xm:sqref>L8:L29</xm:sqref>
        </x14:dataValidation>
        <x14:dataValidation type="list" allowBlank="1" showInputMessage="1" showErrorMessage="1" xr:uid="{22BA1219-24BB-4422-9D95-CAC71F586B71}">
          <x14:formula1>
            <xm:f>Keuzelijst!$F$1:$F$2</xm:f>
          </x14:formula1>
          <xm:sqref>L30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3C4E7-E5CC-4ECD-A862-0E676214889E}">
  <dimension ref="A1:F11"/>
  <sheetViews>
    <sheetView workbookViewId="0">
      <selection activeCell="F2" sqref="F2"/>
    </sheetView>
  </sheetViews>
  <sheetFormatPr defaultRowHeight="14.4" x14ac:dyDescent="0.3"/>
  <cols>
    <col min="1" max="2" width="2" bestFit="1" customWidth="1"/>
    <col min="3" max="3" width="3" bestFit="1" customWidth="1"/>
  </cols>
  <sheetData>
    <row r="1" spans="1:6" x14ac:dyDescent="0.3">
      <c r="A1">
        <v>1</v>
      </c>
      <c r="F1" t="s">
        <v>82</v>
      </c>
    </row>
    <row r="2" spans="1:6" x14ac:dyDescent="0.3">
      <c r="A2">
        <v>2</v>
      </c>
      <c r="F2" t="s">
        <v>83</v>
      </c>
    </row>
    <row r="3" spans="1:6" x14ac:dyDescent="0.3">
      <c r="A3">
        <v>3</v>
      </c>
    </row>
    <row r="4" spans="1:6" x14ac:dyDescent="0.3">
      <c r="A4">
        <v>4</v>
      </c>
    </row>
    <row r="8" spans="1:6" x14ac:dyDescent="0.3">
      <c r="A8">
        <v>1</v>
      </c>
      <c r="B8" t="s">
        <v>84</v>
      </c>
      <c r="C8">
        <v>10</v>
      </c>
    </row>
    <row r="9" spans="1:6" x14ac:dyDescent="0.3">
      <c r="A9">
        <v>2</v>
      </c>
      <c r="B9" t="s">
        <v>84</v>
      </c>
      <c r="C9">
        <v>8</v>
      </c>
    </row>
    <row r="10" spans="1:6" x14ac:dyDescent="0.3">
      <c r="A10">
        <v>3</v>
      </c>
      <c r="B10" t="s">
        <v>84</v>
      </c>
      <c r="C10">
        <v>6</v>
      </c>
    </row>
    <row r="11" spans="1:6" x14ac:dyDescent="0.3">
      <c r="A11">
        <v>4</v>
      </c>
      <c r="B11" t="s">
        <v>84</v>
      </c>
      <c r="C11">
        <v>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e9306ac8-8349-431d-bbdb-13349669c71b" xsi:nil="true"/>
    <lcf76f155ced4ddcb4097134ff3c332f xmlns="e9306ac8-8349-431d-bbdb-13349669c71b">
      <Terms xmlns="http://schemas.microsoft.com/office/infopath/2007/PartnerControls"/>
    </lcf76f155ced4ddcb4097134ff3c332f>
    <TaxCatchAll xmlns="a49f6edb-d7d8-45b6-9e54-327c9172c5d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0123B90F30E3144B4AA0331AFB3868C" ma:contentTypeVersion="20" ma:contentTypeDescription="Een nieuw document maken." ma:contentTypeScope="" ma:versionID="fde27b04e636226762a1056a9e560f8a">
  <xsd:schema xmlns:xsd="http://www.w3.org/2001/XMLSchema" xmlns:xs="http://www.w3.org/2001/XMLSchema" xmlns:p="http://schemas.microsoft.com/office/2006/metadata/properties" xmlns:ns2="e9306ac8-8349-431d-bbdb-13349669c71b" xmlns:ns3="a49f6edb-d7d8-45b6-9e54-327c9172c5d5" targetNamespace="http://schemas.microsoft.com/office/2006/metadata/properties" ma:root="true" ma:fieldsID="f3481b6fca10a58cf6785477515379b4" ns2:_="" ns3:_="">
    <xsd:import namespace="e9306ac8-8349-431d-bbdb-13349669c71b"/>
    <xsd:import namespace="a49f6edb-d7d8-45b6-9e54-327c9172c5d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_Flow_SignoffStatu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306ac8-8349-431d-bbdb-13349669c7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Flow_SignoffStatus" ma:index="21" nillable="true" ma:displayName="Afmeldingsstatus" ma:internalName="Afmeldingsstatus">
      <xsd:simpleType>
        <xsd:restriction base="dms:Text"/>
      </xsd:simpleType>
    </xsd:element>
    <xsd:element name="lcf76f155ced4ddcb4097134ff3c332f" ma:index="23" nillable="true" ma:taxonomy="true" ma:internalName="lcf76f155ced4ddcb4097134ff3c332f" ma:taxonomyFieldName="MediaServiceImageTags" ma:displayName="Afbeeldingtags" ma:readOnly="false" ma:fieldId="{5cf76f15-5ced-4ddc-b409-7134ff3c332f}" ma:taxonomyMulti="true" ma:sspId="1c6a0e08-1576-455b-af28-552984f92fc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49f6edb-d7d8-45b6-9e54-327c9172c5d5" elementFormDefault="qualified">
    <xsd:import namespace="http://schemas.microsoft.com/office/2006/documentManagement/types"/>
    <xsd:import namespace="http://schemas.microsoft.com/office/infopath/2007/PartnerControls"/>
    <xsd:element name="SharedWithUsers" ma:index="14"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Gedeeld met details" ma:internalName="SharedWithDetails" ma:readOnly="true">
      <xsd:simpleType>
        <xsd:restriction base="dms:Note">
          <xsd:maxLength value="255"/>
        </xsd:restriction>
      </xsd:simpleType>
    </xsd:element>
    <xsd:element name="TaxCatchAll" ma:index="24" nillable="true" ma:displayName="Taxonomy Catch All Column" ma:hidden="true" ma:list="{be6e4b3f-a6e0-45fa-9cbb-81477ed1f3ca}" ma:internalName="TaxCatchAll" ma:showField="CatchAllData" ma:web="a49f6edb-d7d8-45b6-9e54-327c9172c5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07DC44-18A9-45BC-BEB4-4502D7799A55}">
  <ds:schemaRefs>
    <ds:schemaRef ds:uri="http://purl.org/dc/elements/1.1/"/>
    <ds:schemaRef ds:uri="http://schemas.microsoft.com/office/2006/metadata/properties"/>
    <ds:schemaRef ds:uri="eeec32e1-4ae4-4529-a28d-507cdbd973a5"/>
    <ds:schemaRef ds:uri="http://schemas.microsoft.com/office/2006/documentManagement/types"/>
    <ds:schemaRef ds:uri="http://schemas.openxmlformats.org/package/2006/metadata/core-properties"/>
    <ds:schemaRef ds:uri="http://purl.org/dc/dcmitype/"/>
    <ds:schemaRef ds:uri="http://schemas.microsoft.com/office/infopath/2007/PartnerControls"/>
    <ds:schemaRef ds:uri="http://www.w3.org/XML/1998/namespace"/>
    <ds:schemaRef ds:uri="http://purl.org/dc/terms/"/>
    <ds:schemaRef ds:uri="e9306ac8-8349-431d-bbdb-13349669c71b"/>
    <ds:schemaRef ds:uri="a49f6edb-d7d8-45b6-9e54-327c9172c5d5"/>
  </ds:schemaRefs>
</ds:datastoreItem>
</file>

<file path=customXml/itemProps2.xml><?xml version="1.0" encoding="utf-8"?>
<ds:datastoreItem xmlns:ds="http://schemas.openxmlformats.org/officeDocument/2006/customXml" ds:itemID="{6492E18E-A1B5-4C6B-AB81-9E04B1813AEC}">
  <ds:schemaRefs>
    <ds:schemaRef ds:uri="http://schemas.microsoft.com/sharepoint/v3/contenttype/forms"/>
  </ds:schemaRefs>
</ds:datastoreItem>
</file>

<file path=customXml/itemProps3.xml><?xml version="1.0" encoding="utf-8"?>
<ds:datastoreItem xmlns:ds="http://schemas.openxmlformats.org/officeDocument/2006/customXml" ds:itemID="{B8D797E2-0AE5-4557-B948-4DAC9B15E5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306ac8-8349-431d-bbdb-13349669c71b"/>
    <ds:schemaRef ds:uri="a49f6edb-d7d8-45b6-9e54-327c9172c5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36377b7-70c4-4493-a338-095918d327e9}" enabled="0" method="" siteId="{e36377b7-70c4-4493-a338-095918d327e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2</vt:i4>
      </vt:variant>
      <vt:variant>
        <vt:lpstr>Benoemde bereiken</vt:lpstr>
      </vt:variant>
      <vt:variant>
        <vt:i4>1</vt:i4>
      </vt:variant>
    </vt:vector>
  </HeadingPairs>
  <TitlesOfParts>
    <vt:vector size="3" baseType="lpstr">
      <vt:lpstr>Beoordelingsmodel KO+KV</vt:lpstr>
      <vt:lpstr>Keuzelijst</vt:lpstr>
      <vt:lpstr>'Beoordelingsmodel KO+KV'!Print_Area</vt:lpstr>
    </vt:vector>
  </TitlesOfParts>
  <Manager/>
  <Company>Windesheim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Rutger Jurjens</dc:creator>
  <cp:keywords/>
  <dc:description/>
  <cp:lastModifiedBy>Markus Schwarzberger</cp:lastModifiedBy>
  <cp:revision/>
  <dcterms:created xsi:type="dcterms:W3CDTF">2016-07-13T08:45:02Z</dcterms:created>
  <dcterms:modified xsi:type="dcterms:W3CDTF">2025-10-06T12:35:27Z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0x01010090123B90F30E3144B4AA0331AFB3868C</vt:lpwstr>
  </property>
  <property fmtid="{D5CDD505-2E9C-101B-9397-08002B2CF9AE}" pid="3" name="AuthorIds_UIVersion_3584">
    <vt:lpwstr>6</vt:lpwstr>
  </property>
  <property fmtid="{D5CDD505-2E9C-101B-9397-08002B2CF9AE}" pid="4" name="AuthorIds_UIVersion_4608">
    <vt:lpwstr>14</vt:lpwstr>
  </property>
  <property fmtid="{D5CDD505-2E9C-101B-9397-08002B2CF9AE}" pid="5" name="MediaServiceImageTags">
    <vt:lpwstr/>
  </property>
</Properties>
</file>